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35751\Downloads\"/>
    </mc:Choice>
  </mc:AlternateContent>
  <xr:revisionPtr revIDLastSave="0" documentId="13_ncr:1_{BF317762-DD26-434B-ACD8-A21B8ECD4292}" xr6:coauthVersionLast="47" xr6:coauthVersionMax="47" xr10:uidLastSave="{00000000-0000-0000-0000-000000000000}"/>
  <bookViews>
    <workbookView xWindow="-120" yWindow="-120" windowWidth="29040" windowHeight="15720" xr2:uid="{974B0AD3-D939-4496-8D21-5BECD972B578}"/>
  </bookViews>
  <sheets>
    <sheet name="Feuil1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4" i="2" l="1"/>
  <c r="C57" i="2"/>
  <c r="C54" i="2"/>
  <c r="C51" i="2"/>
  <c r="C26" i="2"/>
  <c r="C23" i="2"/>
  <c r="C22" i="2"/>
  <c r="C21" i="2"/>
  <c r="C4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MARKUS ZORN</author>
  </authors>
  <commentList>
    <comment ref="B86" authorId="0" shapeId="0" xr:uid="{F2E151B5-0372-4727-BFFF-4F29E412415F}">
      <text>
        <r>
          <rPr>
            <sz val="10"/>
            <color rgb="FF000000"/>
            <rFont val="Arial"/>
            <family val="2"/>
          </rPr>
          <t>MARKUS ZORN:
only applicable for validation</t>
        </r>
      </text>
    </comment>
  </commentList>
</comments>
</file>

<file path=xl/sharedStrings.xml><?xml version="1.0" encoding="utf-8"?>
<sst xmlns="http://schemas.openxmlformats.org/spreadsheetml/2006/main" count="238" uniqueCount="139">
  <si>
    <t>Formula</t>
  </si>
  <si>
    <t xml:space="preserve">(Insert valid or no valid after the confirmation from the supplier on DDE) </t>
  </si>
  <si>
    <t>Suppliers Info</t>
  </si>
  <si>
    <t>SOM check and confirm</t>
  </si>
  <si>
    <t>(Insert the cofor received from the supplier)</t>
  </si>
  <si>
    <t>For oversea suppliers we need to know if the warehouse is in europe or not</t>
  </si>
  <si>
    <t>SOM</t>
  </si>
  <si>
    <t>Supplier contacts (SOM)</t>
  </si>
  <si>
    <t>KICKOFF Milestone</t>
  </si>
  <si>
    <t>SOM!</t>
  </si>
  <si>
    <t>Annalisa</t>
  </si>
  <si>
    <t>Insert yes if you add the supplier in open task sheet</t>
  </si>
  <si>
    <t>Isabelle</t>
  </si>
  <si>
    <t>EDI TEAM</t>
  </si>
  <si>
    <t>SOM (when we receve the eqp number)</t>
  </si>
  <si>
    <t>ANNALISA</t>
  </si>
  <si>
    <t>EDI</t>
  </si>
  <si>
    <t>Index</t>
  </si>
  <si>
    <t>Onboarding Status</t>
  </si>
  <si>
    <t>Triple Status</t>
  </si>
  <si>
    <t>Starting date</t>
  </si>
  <si>
    <t>Alten owner</t>
  </si>
  <si>
    <t>Priority</t>
  </si>
  <si>
    <t>Supplier Punch code</t>
  </si>
  <si>
    <t>Supplier name</t>
  </si>
  <si>
    <t>Sales contact</t>
  </si>
  <si>
    <t>Logistic contact</t>
  </si>
  <si>
    <t>Seller COFOR</t>
  </si>
  <si>
    <t>Seller Name</t>
  </si>
  <si>
    <t>Seller address</t>
  </si>
  <si>
    <t>Manufacturer COFOR</t>
  </si>
  <si>
    <t>Manufacturer Name</t>
  </si>
  <si>
    <t>Manufacturer company address</t>
  </si>
  <si>
    <t>Shipper COFOR</t>
  </si>
  <si>
    <t>Shipper Cofor Name</t>
  </si>
  <si>
    <t>Shipper address</t>
  </si>
  <si>
    <t>Empty Cofor</t>
  </si>
  <si>
    <t>Triplet COFOR</t>
  </si>
  <si>
    <t>Seller_Manuf</t>
  </si>
  <si>
    <t>Seller_Shipper</t>
  </si>
  <si>
    <t>Seller/Manuf already in EQP</t>
  </si>
  <si>
    <t>Seller/Shipper already in EQP</t>
  </si>
  <si>
    <t>EDI already known</t>
  </si>
  <si>
    <t>Plants</t>
  </si>
  <si>
    <t>Shipping location</t>
  </si>
  <si>
    <t xml:space="preserve">Overseas </t>
  </si>
  <si>
    <t>Incoterm</t>
  </si>
  <si>
    <t>Plant Manager</t>
  </si>
  <si>
    <t>Phone</t>
  </si>
  <si>
    <t>Logistic Manager contact</t>
  </si>
  <si>
    <t>Phone2</t>
  </si>
  <si>
    <t>Key Account Contact</t>
  </si>
  <si>
    <t>Phone3</t>
  </si>
  <si>
    <t>Logistic specialist Contact</t>
  </si>
  <si>
    <t>Phone4</t>
  </si>
  <si>
    <t>Transport manager</t>
  </si>
  <si>
    <t>Phone5</t>
  </si>
  <si>
    <t>Packaging Specialist</t>
  </si>
  <si>
    <t>Phone6</t>
  </si>
  <si>
    <t>EDI Contact</t>
  </si>
  <si>
    <t>Phone7</t>
  </si>
  <si>
    <t>First communication sent</t>
  </si>
  <si>
    <t>Planned Kick-off meeting</t>
  </si>
  <si>
    <t>Planned Kick-off week</t>
  </si>
  <si>
    <t>Kick-off meeting postponed date</t>
  </si>
  <si>
    <t>Kick-off meeting postponed week</t>
  </si>
  <si>
    <t>Comments</t>
  </si>
  <si>
    <t>Effective kick-off date</t>
  </si>
  <si>
    <t>Effective kick-off week</t>
  </si>
  <si>
    <t>Participants</t>
  </si>
  <si>
    <t>Kick-off comments</t>
  </si>
  <si>
    <t>Kick-off status</t>
  </si>
  <si>
    <t>eSupplierConnect</t>
  </si>
  <si>
    <t>B2B</t>
  </si>
  <si>
    <t>New supplier portal</t>
  </si>
  <si>
    <t>SPM</t>
  </si>
  <si>
    <t>iTMS</t>
  </si>
  <si>
    <t>ABP Training</t>
  </si>
  <si>
    <t>Readiness status</t>
  </si>
  <si>
    <t>Readiness Comments</t>
  </si>
  <si>
    <t>OPEN TASK</t>
  </si>
  <si>
    <t>Creation of Cofors request date</t>
  </si>
  <si>
    <t>Cofor created date</t>
  </si>
  <si>
    <t>EDI Comments</t>
  </si>
  <si>
    <t>DDE Validated date /sent to edi team</t>
  </si>
  <si>
    <t>EDI EQP No</t>
  </si>
  <si>
    <t>EDI Scenario</t>
  </si>
  <si>
    <t xml:space="preserve">EDI Mode </t>
  </si>
  <si>
    <t xml:space="preserve">Date of Start 
of EDI validation / migration </t>
  </si>
  <si>
    <t>UNB DELFOR</t>
  </si>
  <si>
    <t>Qualifier 
UNB DELFOR</t>
  </si>
  <si>
    <t>UNB DELJIT</t>
  </si>
  <si>
    <t>Qualifier 
UNB DELJIT</t>
  </si>
  <si>
    <t>UNB DESADV</t>
  </si>
  <si>
    <t>Qualifier 
UNB DESADV</t>
  </si>
  <si>
    <t>Hybrid Cofor</t>
  </si>
  <si>
    <t>EQP Status</t>
  </si>
  <si>
    <t>CZ STATUS
DELJIT</t>
  </si>
  <si>
    <t>CZ progress (Avancement CZ)
EQP step</t>
  </si>
  <si>
    <t>CZ current step 
(Etape courante CZ)</t>
  </si>
  <si>
    <t xml:space="preserve">Status CZ
Date of  DELJIT/DESADV </t>
  </si>
  <si>
    <t>MF STATUS
DELFOR</t>
  </si>
  <si>
    <t>MF progress (Avancement MF)
EQP step</t>
  </si>
  <si>
    <t>MF current step 
(Etape courante MF)</t>
  </si>
  <si>
    <t>Status MF 
Date of 
DELFOR</t>
  </si>
  <si>
    <t>Status EDI Certified</t>
  </si>
  <si>
    <t>SET UP IN CORAIL</t>
  </si>
  <si>
    <t>Metz_01</t>
  </si>
  <si>
    <t>Wiam</t>
  </si>
  <si>
    <t>ADVIK AUTOCOMP PRIVATE LIMITED</t>
  </si>
  <si>
    <t>Prasad Muley - prasad.muley@advik.co.in</t>
  </si>
  <si>
    <t>Suyog Ghandi - suyog.gandhi@advik.co.in</t>
  </si>
  <si>
    <t>A02FYQ  01</t>
  </si>
  <si>
    <t/>
  </si>
  <si>
    <t>1310</t>
  </si>
  <si>
    <t>DDP / DAP</t>
  </si>
  <si>
    <t>wk31</t>
  </si>
  <si>
    <t xml:space="preserve">Fulfilled by STL don't check </t>
  </si>
  <si>
    <t xml:space="preserve">Formula check if it is applicable to all lines </t>
  </si>
  <si>
    <t xml:space="preserve">If the column BP is fulfilled the column C need to be either Valid, No Valid, if empty it's an error </t>
  </si>
  <si>
    <t>if the column AY is fulfilled check the format of the email (email@outlook.com; email@outlook.com) or it should be empty</t>
  </si>
  <si>
    <t>don't check</t>
  </si>
  <si>
    <t>if the column AY is fulfilled check the format (10 Carecteres) XXXXXX  XX or it should be empty</t>
  </si>
  <si>
    <t xml:space="preserve">don't check </t>
  </si>
  <si>
    <t>Yes or No for the lines that column AC contiens Yes</t>
  </si>
  <si>
    <t>Yes or No or Empty</t>
  </si>
  <si>
    <t xml:space="preserve">needs to be an email (email@outlook.com; email@outlook.com) </t>
  </si>
  <si>
    <t>phone number or empty</t>
  </si>
  <si>
    <t>date either DD.MM.YYYY or DD/MM/YYYY:comment</t>
  </si>
  <si>
    <t>Yes or NOT or Empty IF we don't have kick off date</t>
  </si>
  <si>
    <t>date either DD.MM.YYYY pas de date dans le future</t>
  </si>
  <si>
    <t>date either DD.MM.YYYY :comment</t>
  </si>
  <si>
    <t>Si on a punch code sur la feuille open task ; yes sur BL</t>
  </si>
  <si>
    <t>date either DD.MM.YYYY</t>
  </si>
  <si>
    <t xml:space="preserve">date either DD.MM.YYYY </t>
  </si>
  <si>
    <t>WEB EDI or Standard EDI Or Empty si la date BP empty</t>
  </si>
  <si>
    <t>Kick-off Invitation sent</t>
  </si>
  <si>
    <t>Supplier Confimation</t>
  </si>
  <si>
    <t>YES or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</si>
</sst>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6"/>
      <name val="Aptos Display"/>
      <family val="2"/>
      <scheme val="major"/>
    </font>
    <font>
      <b/>
      <sz val="9"/>
      <name val="Aptos Display"/>
      <family val="2"/>
      <scheme val="major"/>
    </font>
    <font>
      <b/>
      <sz val="12"/>
      <name val="Aptos Display"/>
      <family val="2"/>
      <scheme val="major"/>
    </font>
    <font>
      <sz val="11"/>
      <name val="Aptos Display"/>
      <family val="2"/>
      <scheme val="major"/>
    </font>
    <font>
      <b/>
      <sz val="12"/>
      <color theme="0"/>
      <name val="Aptos Display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rgb="FF222A35"/>
        <bgColor rgb="FF222A35"/>
      </patternFill>
    </fill>
    <fill>
      <patternFill patternType="solid">
        <fgColor rgb="FFFFC000"/>
        <bgColor rgb="FF222A35"/>
      </patternFill>
    </fill>
    <fill>
      <patternFill patternType="solid">
        <fgColor rgb="FF007BB8"/>
        <bgColor rgb="FF222A35"/>
      </patternFill>
    </fill>
    <fill>
      <patternFill patternType="solid">
        <fgColor rgb="FFFFC000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44B3E1"/>
        <bgColor rgb="FF000000"/>
      </patternFill>
    </fill>
    <fill>
      <patternFill patternType="solid">
        <fgColor rgb="FFBE5014"/>
        <bgColor rgb="FF222A35"/>
      </patternFill>
    </fill>
    <fill>
      <patternFill patternType="solid">
        <fgColor rgb="FFB5E6A2"/>
        <bgColor rgb="FF222A35"/>
      </patternFill>
    </fill>
    <fill>
      <patternFill patternType="solid">
        <fgColor rgb="FF44B3E1"/>
        <bgColor rgb="FF222A35"/>
      </patternFill>
    </fill>
    <fill>
      <patternFill patternType="solid">
        <fgColor theme="4" tint="0.39997558519241921"/>
        <bgColor rgb="FF222A35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14" fontId="2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4" fillId="11" borderId="2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3" fillId="7" borderId="0" xfId="0" applyFont="1" applyFill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14" fontId="6" fillId="2" borderId="1" xfId="0" applyNumberFormat="1" applyFont="1" applyFill="1" applyBorder="1" applyAlignment="1">
      <alignment horizontal="left" vertical="center"/>
    </xf>
    <xf numFmtId="0" fontId="4" fillId="8" borderId="3" xfId="0" applyFont="1" applyFill="1" applyBorder="1" applyAlignment="1">
      <alignment horizontal="left" vertical="center"/>
    </xf>
    <xf numFmtId="0" fontId="4" fillId="8" borderId="4" xfId="0" applyFont="1" applyFill="1" applyBorder="1" applyAlignment="1">
      <alignment horizontal="left" vertical="center"/>
    </xf>
    <xf numFmtId="0" fontId="4" fillId="8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wmghari/Downloads/eDCT%20Metz%20-%20SOM%20Working%20file.xlsx" TargetMode="External"/><Relationship Id="rId2" Type="http://schemas.openxmlformats.org/officeDocument/2006/relationships/externalLinkPath" Target="file:///C:\Users\melbikri\Desktop\eDCT%20Metz%20-%20SOM%20Working%20file.xlsx" TargetMode="External"/><Relationship Id="rId1" Type="http://schemas.openxmlformats.org/officeDocument/2006/relationships/externalLinkPath" Target="/Users/wmghari/Downloads/eDCT%20Metz%20-%20SOM%20Working%20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tacts"/>
      <sheetName val="Foglio1"/>
      <sheetName val="Supplier Level"/>
      <sheetName val="PN Level"/>
      <sheetName val="COFOR db"/>
      <sheetName val="Open Task"/>
      <sheetName val="Template-Cofor-Creation"/>
      <sheetName val="SPM Access request"/>
      <sheetName val="Selection"/>
      <sheetName val="eDCT Metz - SOM Working fi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370B1-EEE5-4B86-9C2D-FF39776EB457}">
  <dimension ref="A1:D92"/>
  <sheetViews>
    <sheetView tabSelected="1" workbookViewId="0">
      <selection activeCell="A67" sqref="A67:B68"/>
    </sheetView>
  </sheetViews>
  <sheetFormatPr baseColWidth="10" defaultRowHeight="15" x14ac:dyDescent="0.25"/>
  <cols>
    <col min="1" max="1" width="42.28515625" bestFit="1" customWidth="1"/>
    <col min="2" max="2" width="39.42578125" bestFit="1" customWidth="1"/>
    <col min="3" max="3" width="38.140625" bestFit="1" customWidth="1"/>
    <col min="4" max="4" width="98.7109375" bestFit="1" customWidth="1"/>
  </cols>
  <sheetData>
    <row r="1" spans="1:4" ht="21" x14ac:dyDescent="0.25">
      <c r="A1" s="1"/>
      <c r="B1" s="20" t="s">
        <v>17</v>
      </c>
      <c r="C1" s="4" t="s">
        <v>107</v>
      </c>
      <c r="D1" s="4" t="s">
        <v>117</v>
      </c>
    </row>
    <row r="2" spans="1:4" ht="21" x14ac:dyDescent="0.25">
      <c r="A2" s="1" t="s">
        <v>0</v>
      </c>
      <c r="B2" s="20" t="s">
        <v>18</v>
      </c>
      <c r="C2" s="4" t="e">
        <f>+IF(AND([1]!Tabella2[[#This Row],[Kick-off status]]="Done",[1]!Tabella2[[#This Row],[Readiness status]]="Done",[1]!Tabella2[[#This Row],[Status EDI Certified]]="OK"),"Completed",IF([1]!Tabella2[[#This Row],[Starting date]]="","","On going"))</f>
        <v>#REF!</v>
      </c>
      <c r="D2" s="4" t="s">
        <v>118</v>
      </c>
    </row>
    <row r="3" spans="1:4" ht="24" x14ac:dyDescent="0.25">
      <c r="A3" s="2" t="s">
        <v>1</v>
      </c>
      <c r="B3" s="20" t="s">
        <v>19</v>
      </c>
      <c r="C3" s="4"/>
      <c r="D3" s="4" t="s">
        <v>119</v>
      </c>
    </row>
    <row r="4" spans="1:4" ht="21" x14ac:dyDescent="0.25">
      <c r="A4" s="3" t="s">
        <v>0</v>
      </c>
      <c r="B4" s="21" t="s">
        <v>20</v>
      </c>
      <c r="C4" s="5" t="str">
        <f>IF(C53="","",C53)</f>
        <v/>
      </c>
      <c r="D4" s="4" t="s">
        <v>118</v>
      </c>
    </row>
    <row r="5" spans="1:4" ht="21" x14ac:dyDescent="0.25">
      <c r="A5" s="1"/>
      <c r="B5" s="20" t="s">
        <v>21</v>
      </c>
      <c r="C5" s="4" t="s">
        <v>108</v>
      </c>
      <c r="D5" s="4" t="s">
        <v>117</v>
      </c>
    </row>
    <row r="6" spans="1:4" ht="21" x14ac:dyDescent="0.25">
      <c r="A6" s="1"/>
      <c r="B6" s="20" t="s">
        <v>22</v>
      </c>
      <c r="C6" s="4"/>
      <c r="D6" s="4" t="s">
        <v>117</v>
      </c>
    </row>
    <row r="7" spans="1:4" ht="21" x14ac:dyDescent="0.25">
      <c r="A7" s="1"/>
      <c r="B7" s="20" t="s">
        <v>23</v>
      </c>
      <c r="C7" s="4">
        <v>107165</v>
      </c>
      <c r="D7" s="4" t="s">
        <v>117</v>
      </c>
    </row>
    <row r="8" spans="1:4" ht="21" x14ac:dyDescent="0.25">
      <c r="A8" s="6" t="s">
        <v>2</v>
      </c>
      <c r="B8" s="7" t="s">
        <v>24</v>
      </c>
      <c r="C8" s="4" t="s">
        <v>109</v>
      </c>
      <c r="D8" s="4" t="s">
        <v>117</v>
      </c>
    </row>
    <row r="9" spans="1:4" ht="21" x14ac:dyDescent="0.25">
      <c r="A9" s="6"/>
      <c r="B9" s="7" t="s">
        <v>25</v>
      </c>
      <c r="C9" s="4" t="s">
        <v>110</v>
      </c>
      <c r="D9" s="4" t="s">
        <v>120</v>
      </c>
    </row>
    <row r="10" spans="1:4" ht="21" x14ac:dyDescent="0.25">
      <c r="A10" s="6" t="s">
        <v>3</v>
      </c>
      <c r="B10" s="7" t="s">
        <v>26</v>
      </c>
      <c r="C10" s="4" t="s">
        <v>111</v>
      </c>
      <c r="D10" s="4" t="s">
        <v>120</v>
      </c>
    </row>
    <row r="11" spans="1:4" ht="15.75" x14ac:dyDescent="0.25">
      <c r="A11" s="8" t="s">
        <v>4</v>
      </c>
      <c r="B11" s="7" t="s">
        <v>27</v>
      </c>
      <c r="C11" s="4" t="s">
        <v>112</v>
      </c>
      <c r="D11" s="4" t="s">
        <v>122</v>
      </c>
    </row>
    <row r="12" spans="1:4" ht="15.75" x14ac:dyDescent="0.25">
      <c r="A12" s="8"/>
      <c r="B12" s="7" t="s">
        <v>28</v>
      </c>
      <c r="C12" s="4" t="s">
        <v>113</v>
      </c>
      <c r="D12" s="4" t="s">
        <v>121</v>
      </c>
    </row>
    <row r="13" spans="1:4" ht="15.75" x14ac:dyDescent="0.25">
      <c r="A13" s="8"/>
      <c r="B13" s="7" t="s">
        <v>29</v>
      </c>
      <c r="C13" s="4" t="s">
        <v>113</v>
      </c>
      <c r="D13" s="4" t="s">
        <v>121</v>
      </c>
    </row>
    <row r="14" spans="1:4" ht="15.75" x14ac:dyDescent="0.25">
      <c r="A14" s="8" t="s">
        <v>4</v>
      </c>
      <c r="B14" s="7" t="s">
        <v>30</v>
      </c>
      <c r="C14" s="4" t="s">
        <v>112</v>
      </c>
      <c r="D14" s="4" t="s">
        <v>122</v>
      </c>
    </row>
    <row r="15" spans="1:4" ht="15.75" x14ac:dyDescent="0.25">
      <c r="A15" s="8"/>
      <c r="B15" s="7" t="s">
        <v>31</v>
      </c>
      <c r="C15" s="4" t="s">
        <v>113</v>
      </c>
      <c r="D15" s="4" t="s">
        <v>121</v>
      </c>
    </row>
    <row r="16" spans="1:4" ht="15.75" x14ac:dyDescent="0.25">
      <c r="A16" s="8"/>
      <c r="B16" s="7" t="s">
        <v>32</v>
      </c>
      <c r="C16" s="4" t="s">
        <v>113</v>
      </c>
      <c r="D16" s="4" t="s">
        <v>121</v>
      </c>
    </row>
    <row r="17" spans="1:4" ht="15.75" x14ac:dyDescent="0.25">
      <c r="A17" s="8" t="s">
        <v>4</v>
      </c>
      <c r="B17" s="7" t="s">
        <v>33</v>
      </c>
      <c r="C17" s="4" t="s">
        <v>112</v>
      </c>
      <c r="D17" s="4" t="s">
        <v>122</v>
      </c>
    </row>
    <row r="18" spans="1:4" ht="15.75" x14ac:dyDescent="0.25">
      <c r="A18" s="8"/>
      <c r="B18" s="7" t="s">
        <v>34</v>
      </c>
      <c r="C18" s="4" t="s">
        <v>113</v>
      </c>
      <c r="D18" s="4" t="s">
        <v>121</v>
      </c>
    </row>
    <row r="19" spans="1:4" ht="15.75" x14ac:dyDescent="0.25">
      <c r="A19" s="8"/>
      <c r="B19" s="7" t="s">
        <v>35</v>
      </c>
      <c r="C19" s="4" t="s">
        <v>113</v>
      </c>
      <c r="D19" s="4" t="s">
        <v>121</v>
      </c>
    </row>
    <row r="20" spans="1:4" ht="15.75" x14ac:dyDescent="0.25">
      <c r="A20" s="8"/>
      <c r="B20" s="7" t="s">
        <v>36</v>
      </c>
      <c r="C20" s="4"/>
      <c r="D20" s="4" t="s">
        <v>122</v>
      </c>
    </row>
    <row r="21" spans="1:4" ht="21" x14ac:dyDescent="0.25">
      <c r="A21" s="6" t="s">
        <v>0</v>
      </c>
      <c r="B21" s="7" t="s">
        <v>37</v>
      </c>
      <c r="C21" s="4" t="str">
        <f>+C11&amp;"_"&amp;C14&amp;"_"&amp;C17</f>
        <v>A02FYQ  01_A02FYQ  01_A02FYQ  01</v>
      </c>
      <c r="D21" s="4" t="s">
        <v>118</v>
      </c>
    </row>
    <row r="22" spans="1:4" ht="21" x14ac:dyDescent="0.25">
      <c r="A22" s="6" t="s">
        <v>0</v>
      </c>
      <c r="B22" s="7" t="s">
        <v>38</v>
      </c>
      <c r="C22" s="4" t="e">
        <f>+[1]!Tabella2[[#This Row],[Seller COFOR]]&amp;"_"&amp;[1]!Tabella2[[#This Row],[Manufacturer COFOR]]</f>
        <v>#REF!</v>
      </c>
      <c r="D22" s="4" t="s">
        <v>118</v>
      </c>
    </row>
    <row r="23" spans="1:4" ht="21" x14ac:dyDescent="0.25">
      <c r="A23" s="6" t="s">
        <v>0</v>
      </c>
      <c r="B23" s="7" t="s">
        <v>39</v>
      </c>
      <c r="C23" s="4" t="e">
        <f>[1]!Tabella2[[#This Row],[Seller COFOR]]&amp;"_"&amp;[1]!Tabella2[[#This Row],[Shipper COFOR]]</f>
        <v>#REF!</v>
      </c>
      <c r="D23" s="4" t="s">
        <v>118</v>
      </c>
    </row>
    <row r="24" spans="1:4" ht="21" x14ac:dyDescent="0.25">
      <c r="A24" s="6"/>
      <c r="B24" s="7" t="s">
        <v>40</v>
      </c>
      <c r="C24" s="4" t="s">
        <v>113</v>
      </c>
      <c r="D24" s="4" t="s">
        <v>121</v>
      </c>
    </row>
    <row r="25" spans="1:4" ht="21" x14ac:dyDescent="0.25">
      <c r="A25" s="6"/>
      <c r="B25" s="7" t="s">
        <v>41</v>
      </c>
      <c r="C25" s="4" t="s">
        <v>113</v>
      </c>
      <c r="D25" s="4" t="s">
        <v>123</v>
      </c>
    </row>
    <row r="26" spans="1:4" ht="21" x14ac:dyDescent="0.25">
      <c r="A26" s="6"/>
      <c r="B26" s="7" t="s">
        <v>42</v>
      </c>
      <c r="C26" s="4" t="e">
        <f>+IF(AND([1]!Tabella2[[#This Row],[Seller/Manuf already in EQP]]="",[1]!Tabella2[[#This Row],[Seller/Shipper already in EQP]]=""),"No",IF(COUNTA([1]!Tabella2[[#This Row],[Seller/Manuf already in EQP]:[Seller/Shipper already in EQP]])=1,"Partial","Yes"))</f>
        <v>#REF!</v>
      </c>
      <c r="D26" s="4" t="s">
        <v>123</v>
      </c>
    </row>
    <row r="27" spans="1:4" ht="21" x14ac:dyDescent="0.25">
      <c r="A27" s="6"/>
      <c r="B27" s="7" t="s">
        <v>43</v>
      </c>
      <c r="C27" s="4" t="s">
        <v>114</v>
      </c>
      <c r="D27" s="4" t="s">
        <v>123</v>
      </c>
    </row>
    <row r="28" spans="1:4" ht="24" x14ac:dyDescent="0.25">
      <c r="A28" s="9" t="s">
        <v>5</v>
      </c>
      <c r="B28" s="7" t="s">
        <v>44</v>
      </c>
      <c r="C28" s="4"/>
      <c r="D28" s="4" t="s">
        <v>124</v>
      </c>
    </row>
    <row r="29" spans="1:4" ht="21" x14ac:dyDescent="0.25">
      <c r="A29" s="6" t="s">
        <v>6</v>
      </c>
      <c r="B29" s="7" t="s">
        <v>45</v>
      </c>
      <c r="C29" s="4"/>
      <c r="D29" s="4" t="s">
        <v>125</v>
      </c>
    </row>
    <row r="30" spans="1:4" ht="21" x14ac:dyDescent="0.25">
      <c r="A30" s="6"/>
      <c r="B30" s="7" t="s">
        <v>46</v>
      </c>
      <c r="C30" s="4" t="s">
        <v>115</v>
      </c>
      <c r="D30" s="4" t="s">
        <v>123</v>
      </c>
    </row>
    <row r="31" spans="1:4" ht="21" x14ac:dyDescent="0.25">
      <c r="A31" s="10" t="s">
        <v>7</v>
      </c>
      <c r="B31" s="11" t="s">
        <v>47</v>
      </c>
      <c r="C31" s="4"/>
      <c r="D31" s="4" t="s">
        <v>126</v>
      </c>
    </row>
    <row r="32" spans="1:4" ht="21" x14ac:dyDescent="0.25">
      <c r="A32" s="10"/>
      <c r="B32" s="11" t="s">
        <v>48</v>
      </c>
      <c r="C32" s="4"/>
      <c r="D32" s="4" t="s">
        <v>127</v>
      </c>
    </row>
    <row r="33" spans="1:4" ht="21" x14ac:dyDescent="0.25">
      <c r="A33" s="10"/>
      <c r="B33" s="11" t="s">
        <v>49</v>
      </c>
      <c r="C33" s="4"/>
      <c r="D33" s="4" t="s">
        <v>126</v>
      </c>
    </row>
    <row r="34" spans="1:4" ht="21" x14ac:dyDescent="0.25">
      <c r="A34" s="10"/>
      <c r="B34" s="11" t="s">
        <v>50</v>
      </c>
      <c r="C34" s="4"/>
      <c r="D34" s="4" t="s">
        <v>127</v>
      </c>
    </row>
    <row r="35" spans="1:4" ht="21" x14ac:dyDescent="0.25">
      <c r="A35" s="10"/>
      <c r="B35" s="11" t="s">
        <v>51</v>
      </c>
      <c r="C35" s="4"/>
      <c r="D35" s="4" t="s">
        <v>126</v>
      </c>
    </row>
    <row r="36" spans="1:4" ht="21" x14ac:dyDescent="0.25">
      <c r="A36" s="10"/>
      <c r="B36" s="11" t="s">
        <v>52</v>
      </c>
      <c r="C36" s="4"/>
      <c r="D36" s="4" t="s">
        <v>127</v>
      </c>
    </row>
    <row r="37" spans="1:4" ht="21" x14ac:dyDescent="0.25">
      <c r="A37" s="10"/>
      <c r="B37" s="11" t="s">
        <v>53</v>
      </c>
      <c r="C37" s="4"/>
      <c r="D37" s="4" t="s">
        <v>126</v>
      </c>
    </row>
    <row r="38" spans="1:4" ht="21" x14ac:dyDescent="0.25">
      <c r="A38" s="10"/>
      <c r="B38" s="11" t="s">
        <v>54</v>
      </c>
      <c r="C38" s="4"/>
      <c r="D38" s="4" t="s">
        <v>127</v>
      </c>
    </row>
    <row r="39" spans="1:4" ht="21" x14ac:dyDescent="0.25">
      <c r="A39" s="10"/>
      <c r="B39" s="11" t="s">
        <v>55</v>
      </c>
      <c r="C39" s="4"/>
      <c r="D39" s="4" t="s">
        <v>126</v>
      </c>
    </row>
    <row r="40" spans="1:4" ht="21" x14ac:dyDescent="0.25">
      <c r="A40" s="10"/>
      <c r="B40" s="11" t="s">
        <v>56</v>
      </c>
      <c r="C40" s="4"/>
      <c r="D40" s="4" t="s">
        <v>127</v>
      </c>
    </row>
    <row r="41" spans="1:4" ht="21" x14ac:dyDescent="0.25">
      <c r="A41" s="10"/>
      <c r="B41" s="11" t="s">
        <v>57</v>
      </c>
      <c r="C41" s="4"/>
      <c r="D41" s="4" t="s">
        <v>126</v>
      </c>
    </row>
    <row r="42" spans="1:4" ht="21" x14ac:dyDescent="0.25">
      <c r="A42" s="10"/>
      <c r="B42" s="11" t="s">
        <v>58</v>
      </c>
      <c r="C42" s="4"/>
      <c r="D42" s="4" t="s">
        <v>127</v>
      </c>
    </row>
    <row r="43" spans="1:4" ht="21" x14ac:dyDescent="0.25">
      <c r="A43" s="10"/>
      <c r="B43" s="11" t="s">
        <v>59</v>
      </c>
      <c r="C43" s="4"/>
      <c r="D43" s="4" t="s">
        <v>126</v>
      </c>
    </row>
    <row r="44" spans="1:4" ht="21" x14ac:dyDescent="0.25">
      <c r="A44" s="10"/>
      <c r="B44" s="11" t="s">
        <v>60</v>
      </c>
      <c r="C44" s="4"/>
      <c r="D44" s="4" t="s">
        <v>127</v>
      </c>
    </row>
    <row r="45" spans="1:4" ht="21" x14ac:dyDescent="0.25">
      <c r="A45" s="12" t="s">
        <v>8</v>
      </c>
      <c r="B45" s="13" t="s">
        <v>61</v>
      </c>
      <c r="C45" s="5">
        <v>46219</v>
      </c>
      <c r="D45" s="4" t="s">
        <v>133</v>
      </c>
    </row>
    <row r="46" spans="1:4" ht="21.75" thickBot="1" x14ac:dyDescent="0.3">
      <c r="A46" s="12"/>
      <c r="B46" s="13" t="s">
        <v>62</v>
      </c>
      <c r="C46" s="5">
        <v>46230</v>
      </c>
      <c r="D46" s="4" t="s">
        <v>134</v>
      </c>
    </row>
    <row r="47" spans="1:4" ht="21.75" thickBot="1" x14ac:dyDescent="0.3">
      <c r="A47" s="12"/>
      <c r="B47" s="14" t="s">
        <v>136</v>
      </c>
      <c r="C47" s="5"/>
      <c r="D47" s="4" t="s">
        <v>134</v>
      </c>
    </row>
    <row r="48" spans="1:4" ht="21" x14ac:dyDescent="0.25">
      <c r="A48" s="12"/>
      <c r="B48" s="14" t="s">
        <v>137</v>
      </c>
      <c r="C48" s="5"/>
      <c r="D48" s="4" t="s">
        <v>138</v>
      </c>
    </row>
    <row r="49" spans="1:4" ht="21" x14ac:dyDescent="0.25">
      <c r="A49" s="12"/>
      <c r="B49" s="13" t="s">
        <v>63</v>
      </c>
      <c r="C49" s="4" t="s">
        <v>116</v>
      </c>
      <c r="D49" s="4" t="s">
        <v>121</v>
      </c>
    </row>
    <row r="50" spans="1:4" ht="21" x14ac:dyDescent="0.25">
      <c r="A50" s="12"/>
      <c r="B50" s="13" t="s">
        <v>64</v>
      </c>
      <c r="C50" s="4"/>
      <c r="D50" s="4" t="s">
        <v>134</v>
      </c>
    </row>
    <row r="51" spans="1:4" ht="21" x14ac:dyDescent="0.25">
      <c r="A51" s="12"/>
      <c r="B51" s="13" t="s">
        <v>65</v>
      </c>
      <c r="C51" s="4" t="e">
        <f>+IF([1]!Tabella2[[#This Row],[Kick-off meeting postponed date]]="","","wk"&amp;WEEKNUM([1]!Tabella2[[#This Row],[Kick-off meeting postponed date]]))</f>
        <v>#REF!</v>
      </c>
      <c r="D51" s="4" t="s">
        <v>118</v>
      </c>
    </row>
    <row r="52" spans="1:4" ht="21" x14ac:dyDescent="0.25">
      <c r="A52" s="12"/>
      <c r="B52" s="13" t="s">
        <v>66</v>
      </c>
      <c r="C52" s="4"/>
      <c r="D52" s="4" t="s">
        <v>128</v>
      </c>
    </row>
    <row r="53" spans="1:4" ht="21" x14ac:dyDescent="0.25">
      <c r="A53" s="12"/>
      <c r="B53" s="13" t="s">
        <v>67</v>
      </c>
      <c r="C53" s="5"/>
      <c r="D53" s="4" t="s">
        <v>130</v>
      </c>
    </row>
    <row r="54" spans="1:4" ht="21" x14ac:dyDescent="0.25">
      <c r="A54" s="12" t="s">
        <v>0</v>
      </c>
      <c r="B54" s="13" t="s">
        <v>68</v>
      </c>
      <c r="C54" s="4" t="e">
        <f>+IF([1]!Tabella2[[#This Row],[Effective kick-off date]]="","","wk"&amp;WEEKNUM([1]!Tabella2[[#This Row],[Effective kick-off date]]))</f>
        <v>#REF!</v>
      </c>
      <c r="D54" s="4" t="s">
        <v>118</v>
      </c>
    </row>
    <row r="55" spans="1:4" ht="21" x14ac:dyDescent="0.25">
      <c r="A55" s="12"/>
      <c r="B55" s="13" t="s">
        <v>69</v>
      </c>
      <c r="C55" s="4"/>
      <c r="D55" s="4" t="s">
        <v>126</v>
      </c>
    </row>
    <row r="56" spans="1:4" ht="21" x14ac:dyDescent="0.25">
      <c r="A56" s="12"/>
      <c r="B56" s="13" t="s">
        <v>70</v>
      </c>
      <c r="C56" s="4"/>
      <c r="D56" s="4" t="s">
        <v>128</v>
      </c>
    </row>
    <row r="57" spans="1:4" ht="21" x14ac:dyDescent="0.25">
      <c r="A57" s="12" t="s">
        <v>0</v>
      </c>
      <c r="B57" s="13" t="s">
        <v>71</v>
      </c>
      <c r="C57" s="4" t="e">
        <f>+IF(AND(COUNTA([1]!Tabella2[[#This Row],[Logistic Manager contact]],[1]!Tabella2[[#This Row],[Key Account Contact]],[1]!Tabella2[[#This Row],[Transport manager]],[1]!Tabella2[[#This Row],[Packaging Specialist]],[1]!Tabella2[[#This Row],[EDI Contact]],[1]!Tabella2[[#This Row],[Logistic specialist Contact]])=6,[1]!Tabella2[[#This Row],[DDE Validated date /sent to edi team]]&lt;&gt;""),"Done","")</f>
        <v>#REF!</v>
      </c>
      <c r="D57" s="4" t="s">
        <v>118</v>
      </c>
    </row>
    <row r="58" spans="1:4" ht="21" x14ac:dyDescent="0.25">
      <c r="A58" s="12" t="s">
        <v>6</v>
      </c>
      <c r="B58" s="15" t="s">
        <v>72</v>
      </c>
      <c r="C58" s="4"/>
      <c r="D58" s="4" t="s">
        <v>129</v>
      </c>
    </row>
    <row r="59" spans="1:4" ht="21" x14ac:dyDescent="0.25">
      <c r="A59" s="12" t="s">
        <v>9</v>
      </c>
      <c r="B59" s="15" t="s">
        <v>73</v>
      </c>
      <c r="C59" s="4"/>
      <c r="D59" s="4" t="s">
        <v>129</v>
      </c>
    </row>
    <row r="60" spans="1:4" ht="21" x14ac:dyDescent="0.25">
      <c r="A60" s="12" t="s">
        <v>6</v>
      </c>
      <c r="B60" s="15" t="s">
        <v>74</v>
      </c>
      <c r="C60" s="4"/>
      <c r="D60" s="4" t="s">
        <v>129</v>
      </c>
    </row>
    <row r="61" spans="1:4" ht="21" x14ac:dyDescent="0.25">
      <c r="A61" s="12" t="s">
        <v>6</v>
      </c>
      <c r="B61" s="15" t="s">
        <v>75</v>
      </c>
      <c r="C61" s="4"/>
      <c r="D61" s="4" t="s">
        <v>129</v>
      </c>
    </row>
    <row r="62" spans="1:4" ht="21" x14ac:dyDescent="0.25">
      <c r="A62" s="12" t="s">
        <v>6</v>
      </c>
      <c r="B62" s="15" t="s">
        <v>76</v>
      </c>
      <c r="C62" s="4"/>
      <c r="D62" s="4" t="s">
        <v>129</v>
      </c>
    </row>
    <row r="63" spans="1:4" ht="21" x14ac:dyDescent="0.25">
      <c r="A63" s="12" t="s">
        <v>10</v>
      </c>
      <c r="B63" s="15" t="s">
        <v>77</v>
      </c>
      <c r="C63" s="4"/>
      <c r="D63" s="4" t="s">
        <v>121</v>
      </c>
    </row>
    <row r="64" spans="1:4" ht="21" x14ac:dyDescent="0.25">
      <c r="A64" s="12" t="s">
        <v>0</v>
      </c>
      <c r="B64" s="13" t="s">
        <v>78</v>
      </c>
      <c r="C64" s="4" t="e">
        <f>+IF(AND([1]!Tabella2[[#This Row],[Kick-off status]]="Done",[1]!Tabella2[[#This Row],[eSupplierConnect]]="YES",[1]!Tabella2[[#This Row],[B2B]]="YES",[1]!Tabella2[[#This Row],[New supplier portal]]="YES",[1]!Tabella2[[#This Row],[SPM]]="YES",[1]!Tabella2[[#This Row],[iTMS]]="YES"),"Done","")</f>
        <v>#REF!</v>
      </c>
      <c r="D64" s="4" t="s">
        <v>118</v>
      </c>
    </row>
    <row r="65" spans="1:4" ht="21" x14ac:dyDescent="0.25">
      <c r="A65" s="12" t="s">
        <v>6</v>
      </c>
      <c r="B65" s="13" t="s">
        <v>79</v>
      </c>
      <c r="C65" s="4"/>
      <c r="D65" s="4" t="s">
        <v>131</v>
      </c>
    </row>
    <row r="66" spans="1:4" ht="15.75" x14ac:dyDescent="0.25">
      <c r="A66" s="16" t="s">
        <v>11</v>
      </c>
      <c r="B66" s="13" t="s">
        <v>80</v>
      </c>
      <c r="C66" s="4"/>
      <c r="D66" s="4" t="s">
        <v>132</v>
      </c>
    </row>
    <row r="67" spans="1:4" ht="15.75" x14ac:dyDescent="0.25">
      <c r="A67" s="20" t="s">
        <v>12</v>
      </c>
      <c r="B67" s="20" t="s">
        <v>81</v>
      </c>
      <c r="C67" s="4"/>
      <c r="D67" s="4"/>
    </row>
    <row r="68" spans="1:4" ht="16.5" thickBot="1" x14ac:dyDescent="0.3">
      <c r="A68" s="20" t="s">
        <v>6</v>
      </c>
      <c r="B68" s="20" t="s">
        <v>82</v>
      </c>
      <c r="C68" s="4"/>
      <c r="D68" s="4" t="s">
        <v>133</v>
      </c>
    </row>
    <row r="69" spans="1:4" ht="16.5" thickBot="1" x14ac:dyDescent="0.3">
      <c r="A69" s="17" t="s">
        <v>6</v>
      </c>
      <c r="B69" s="18" t="s">
        <v>83</v>
      </c>
      <c r="C69" s="4"/>
      <c r="D69" s="4" t="s">
        <v>131</v>
      </c>
    </row>
    <row r="70" spans="1:4" ht="16.5" thickBot="1" x14ac:dyDescent="0.3">
      <c r="A70" s="17" t="s">
        <v>6</v>
      </c>
      <c r="B70" s="18" t="s">
        <v>84</v>
      </c>
      <c r="C70" s="4"/>
      <c r="D70" s="4" t="s">
        <v>134</v>
      </c>
    </row>
    <row r="71" spans="1:4" ht="16.5" thickBot="1" x14ac:dyDescent="0.3">
      <c r="A71" s="17" t="s">
        <v>13</v>
      </c>
      <c r="B71" s="18" t="s">
        <v>85</v>
      </c>
      <c r="C71" s="4"/>
      <c r="D71" s="4" t="s">
        <v>121</v>
      </c>
    </row>
    <row r="72" spans="1:4" ht="16.5" thickBot="1" x14ac:dyDescent="0.3">
      <c r="A72" s="17" t="s">
        <v>13</v>
      </c>
      <c r="B72" s="18" t="s">
        <v>86</v>
      </c>
      <c r="C72" s="4"/>
      <c r="D72" s="4" t="s">
        <v>121</v>
      </c>
    </row>
    <row r="73" spans="1:4" ht="16.5" thickBot="1" x14ac:dyDescent="0.3">
      <c r="A73" s="17" t="s">
        <v>14</v>
      </c>
      <c r="B73" s="18" t="s">
        <v>87</v>
      </c>
      <c r="C73" s="4"/>
      <c r="D73" s="4" t="s">
        <v>135</v>
      </c>
    </row>
    <row r="74" spans="1:4" ht="32.25" thickBot="1" x14ac:dyDescent="0.3">
      <c r="A74" s="22" t="s">
        <v>13</v>
      </c>
      <c r="B74" s="19" t="s">
        <v>88</v>
      </c>
      <c r="C74" s="4"/>
      <c r="D74" s="4" t="s">
        <v>121</v>
      </c>
    </row>
    <row r="75" spans="1:4" ht="16.5" thickBot="1" x14ac:dyDescent="0.3">
      <c r="A75" s="23"/>
      <c r="B75" s="18" t="s">
        <v>89</v>
      </c>
      <c r="C75" s="4"/>
      <c r="D75" s="4" t="s">
        <v>121</v>
      </c>
    </row>
    <row r="76" spans="1:4" ht="32.25" thickBot="1" x14ac:dyDescent="0.3">
      <c r="A76" s="23"/>
      <c r="B76" s="19" t="s">
        <v>90</v>
      </c>
      <c r="C76" s="4"/>
      <c r="D76" s="4" t="s">
        <v>121</v>
      </c>
    </row>
    <row r="77" spans="1:4" ht="16.5" thickBot="1" x14ac:dyDescent="0.3">
      <c r="A77" s="23"/>
      <c r="B77" s="18" t="s">
        <v>91</v>
      </c>
      <c r="C77" s="4"/>
      <c r="D77" s="4" t="s">
        <v>121</v>
      </c>
    </row>
    <row r="78" spans="1:4" ht="32.25" thickBot="1" x14ac:dyDescent="0.3">
      <c r="A78" s="23"/>
      <c r="B78" s="19" t="s">
        <v>92</v>
      </c>
      <c r="C78" s="4"/>
      <c r="D78" s="4" t="s">
        <v>121</v>
      </c>
    </row>
    <row r="79" spans="1:4" ht="16.5" thickBot="1" x14ac:dyDescent="0.3">
      <c r="A79" s="23"/>
      <c r="B79" s="18" t="s">
        <v>93</v>
      </c>
      <c r="C79" s="4"/>
      <c r="D79" s="4" t="s">
        <v>121</v>
      </c>
    </row>
    <row r="80" spans="1:4" ht="32.25" thickBot="1" x14ac:dyDescent="0.3">
      <c r="A80" s="24"/>
      <c r="B80" s="19" t="s">
        <v>94</v>
      </c>
      <c r="C80" s="4"/>
      <c r="D80" s="4" t="s">
        <v>121</v>
      </c>
    </row>
    <row r="81" spans="1:4" ht="16.5" thickBot="1" x14ac:dyDescent="0.3">
      <c r="A81" s="22" t="s">
        <v>15</v>
      </c>
      <c r="B81" s="18" t="s">
        <v>95</v>
      </c>
      <c r="C81" s="4"/>
      <c r="D81" s="4" t="s">
        <v>121</v>
      </c>
    </row>
    <row r="82" spans="1:4" ht="16.5" thickBot="1" x14ac:dyDescent="0.3">
      <c r="A82" s="23"/>
      <c r="B82" s="18" t="s">
        <v>96</v>
      </c>
      <c r="C82" s="4"/>
      <c r="D82" s="4" t="s">
        <v>121</v>
      </c>
    </row>
    <row r="83" spans="1:4" ht="32.25" thickBot="1" x14ac:dyDescent="0.3">
      <c r="A83" s="23"/>
      <c r="B83" s="19" t="s">
        <v>97</v>
      </c>
      <c r="C83" s="4"/>
      <c r="D83" s="4" t="s">
        <v>121</v>
      </c>
    </row>
    <row r="84" spans="1:4" ht="32.25" thickBot="1" x14ac:dyDescent="0.3">
      <c r="A84" s="23"/>
      <c r="B84" s="19" t="s">
        <v>98</v>
      </c>
      <c r="C84" s="4"/>
      <c r="D84" s="4" t="s">
        <v>121</v>
      </c>
    </row>
    <row r="85" spans="1:4" ht="32.25" thickBot="1" x14ac:dyDescent="0.3">
      <c r="A85" s="23"/>
      <c r="B85" s="19" t="s">
        <v>99</v>
      </c>
      <c r="C85" s="4"/>
      <c r="D85" s="4" t="s">
        <v>121</v>
      </c>
    </row>
    <row r="86" spans="1:4" ht="32.25" thickBot="1" x14ac:dyDescent="0.3">
      <c r="A86" s="23"/>
      <c r="B86" s="19" t="s">
        <v>100</v>
      </c>
      <c r="C86" s="4"/>
      <c r="D86" s="4" t="s">
        <v>121</v>
      </c>
    </row>
    <row r="87" spans="1:4" ht="32.25" thickBot="1" x14ac:dyDescent="0.3">
      <c r="A87" s="23"/>
      <c r="B87" s="19" t="s">
        <v>101</v>
      </c>
      <c r="C87" s="4"/>
      <c r="D87" s="4" t="s">
        <v>121</v>
      </c>
    </row>
    <row r="88" spans="1:4" ht="32.25" thickBot="1" x14ac:dyDescent="0.3">
      <c r="A88" s="23"/>
      <c r="B88" s="19" t="s">
        <v>102</v>
      </c>
      <c r="C88" s="4"/>
      <c r="D88" s="4" t="s">
        <v>121</v>
      </c>
    </row>
    <row r="89" spans="1:4" ht="32.25" thickBot="1" x14ac:dyDescent="0.3">
      <c r="A89" s="23"/>
      <c r="B89" s="19" t="s">
        <v>103</v>
      </c>
      <c r="C89" s="4"/>
      <c r="D89" s="4" t="s">
        <v>121</v>
      </c>
    </row>
    <row r="90" spans="1:4" ht="48" thickBot="1" x14ac:dyDescent="0.3">
      <c r="A90" s="23"/>
      <c r="B90" s="19" t="s">
        <v>104</v>
      </c>
      <c r="C90" s="4"/>
      <c r="D90" s="4" t="s">
        <v>121</v>
      </c>
    </row>
    <row r="91" spans="1:4" ht="16.5" thickBot="1" x14ac:dyDescent="0.3">
      <c r="A91" s="23" t="s">
        <v>16</v>
      </c>
      <c r="B91" s="18" t="s">
        <v>105</v>
      </c>
      <c r="C91" s="4"/>
      <c r="D91" s="4" t="s">
        <v>121</v>
      </c>
    </row>
    <row r="92" spans="1:4" ht="15.75" x14ac:dyDescent="0.25">
      <c r="A92" s="23"/>
      <c r="B92" s="19" t="s">
        <v>106</v>
      </c>
      <c r="C92" s="4"/>
      <c r="D92" s="4" t="s">
        <v>121</v>
      </c>
    </row>
  </sheetData>
  <mergeCells count="3">
    <mergeCell ref="A74:A80"/>
    <mergeCell ref="A81:A90"/>
    <mergeCell ref="A91:A92"/>
  </mergeCells>
  <dataValidations count="2">
    <dataValidation allowBlank="1" showErrorMessage="1" sqref="B2:B3" xr:uid="{EE3F4479-92B8-4D73-AED3-3EBE784561C5}"/>
    <dataValidation allowBlank="1" showInputMessage="1" showErrorMessage="1" sqref="B31:B44" xr:uid="{C70D36C0-C476-403A-AFEB-81EC02EF1623}"/>
  </dataValidations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725ca717-11da-4935-b601-f527b9741f2e}" enabled="1" method="Privileged" siteId="{d852d5cd-724c-4128-8812-ffa5db3f8507}" contentBits="0" removed="0"/>
  <clbl:label id="{d5b0e46e-af26-40f8-bc06-c0e471e18c78}" enabled="1" method="Privileged" siteId="{9bc3d1cd-55ca-4e13-b5a2-a9e9deaeba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Meriem AL BIKRI</dc:creator>
  <cp:lastModifiedBy>HAMZA CHAQCHAQ (EXTERNAL)</cp:lastModifiedBy>
  <dcterms:created xsi:type="dcterms:W3CDTF">2026-07-23T13:34:39Z</dcterms:created>
  <dcterms:modified xsi:type="dcterms:W3CDTF">2026-07-29T13:41:01Z</dcterms:modified>
</cp:coreProperties>
</file>